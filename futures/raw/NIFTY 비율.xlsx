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공유 드라이브\CODE\4.stock\investing\"/>
    </mc:Choice>
  </mc:AlternateContent>
  <xr:revisionPtr revIDLastSave="0" documentId="13_ncr:1_{DDB8F1E4-58EE-41D9-AD82-BB2E91DBCDC8}" xr6:coauthVersionLast="47" xr6:coauthVersionMax="47" xr10:uidLastSave="{00000000-0000-0000-0000-000000000000}"/>
  <bookViews>
    <workbookView xWindow="-120" yWindow="-120" windowWidth="29040" windowHeight="15720" xr2:uid="{B9E4507B-7DD6-4FF4-928E-65466C2095FB}"/>
  </bookViews>
  <sheets>
    <sheet name="Sheet1" sheetId="1" r:id="rId1"/>
  </sheets>
  <definedNames>
    <definedName name="_xlnm._FilterDatabase" localSheetId="0" hidden="1">Sheet1!$J$1:$K$18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51" i="1" l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K8" i="1" s="1"/>
  <c r="D3" i="1"/>
  <c r="D2" i="1"/>
  <c r="K9" i="1"/>
  <c r="K12" i="1" l="1"/>
  <c r="K4" i="1"/>
  <c r="K11" i="1"/>
  <c r="K3" i="1"/>
  <c r="K16" i="1"/>
  <c r="K17" i="1"/>
  <c r="K18" i="1"/>
  <c r="K10" i="1"/>
  <c r="K6" i="1"/>
  <c r="K14" i="1"/>
  <c r="K13" i="1"/>
  <c r="K15" i="1"/>
  <c r="K2" i="1"/>
  <c r="K5" i="1"/>
  <c r="K7" i="1"/>
</calcChain>
</file>

<file path=xl/sharedStrings.xml><?xml version="1.0" encoding="utf-8"?>
<sst xmlns="http://schemas.openxmlformats.org/spreadsheetml/2006/main" count="125" uniqueCount="75">
  <si>
    <t>Tata Consultancy Services Ltd</t>
  </si>
  <si>
    <t>Information Technology</t>
  </si>
  <si>
    <t>Reliance Industries Ltd</t>
  </si>
  <si>
    <t>Energy Sector</t>
  </si>
  <si>
    <t>HDFC Bank Ltd</t>
  </si>
  <si>
    <t>Financial Services</t>
  </si>
  <si>
    <t>Hindustan Unilever</t>
  </si>
  <si>
    <t>Consumer Goods</t>
  </si>
  <si>
    <t>Housing Development Finance Corporation Ltd</t>
  </si>
  <si>
    <t>Infosys Ltd</t>
  </si>
  <si>
    <t>ITC</t>
  </si>
  <si>
    <t>Cigarettes Sector</t>
  </si>
  <si>
    <t>Kotak Mahindra Bank</t>
  </si>
  <si>
    <t>ICICI Bank</t>
  </si>
  <si>
    <t>State Bank Of India</t>
  </si>
  <si>
    <t>Bajaj Finance Ltd</t>
  </si>
  <si>
    <t>Larsen &amp; Toubro Ltd</t>
  </si>
  <si>
    <t>Engineering</t>
  </si>
  <si>
    <t>Maruti Suzuki India</t>
  </si>
  <si>
    <t>Automobile</t>
  </si>
  <si>
    <t>Bharti Airtel</t>
  </si>
  <si>
    <t>Telecom sector</t>
  </si>
  <si>
    <t>Axis Bank</t>
  </si>
  <si>
    <t>Oil &amp; Natural Gas Corporation</t>
  </si>
  <si>
    <t>Asian Paints Ltd</t>
  </si>
  <si>
    <t>Wipro Ltd</t>
  </si>
  <si>
    <t>HCL Technologies Ltd</t>
  </si>
  <si>
    <t>Coal India Ltd</t>
  </si>
  <si>
    <t>Metals &amp; Mining</t>
  </si>
  <si>
    <t>Indian Oil Corporation Ltd</t>
  </si>
  <si>
    <t>NTPC Ltd</t>
  </si>
  <si>
    <t>Bajaj Finserv</t>
  </si>
  <si>
    <t>Ultratech Cement</t>
  </si>
  <si>
    <t>Cement Sector</t>
  </si>
  <si>
    <t>Power Grid Corporation Of India Ltd</t>
  </si>
  <si>
    <t>Sun Pharmaceutical Industries</t>
  </si>
  <si>
    <t>Pharma sector</t>
  </si>
  <si>
    <t>IndusInd Bank</t>
  </si>
  <si>
    <t>Titan Company Ltd</t>
  </si>
  <si>
    <t>Bajaj Auto</t>
  </si>
  <si>
    <t>Bharat Petroleum Corporation Ltd</t>
  </si>
  <si>
    <t>Adani Ports</t>
  </si>
  <si>
    <t>Shipping</t>
  </si>
  <si>
    <t>Mahindra &amp; Mahindra</t>
  </si>
  <si>
    <t>Tech Mahindra</t>
  </si>
  <si>
    <t>Britannia Industries</t>
  </si>
  <si>
    <t>HDFC Life Insurance Company Limited</t>
  </si>
  <si>
    <t>Insurance</t>
  </si>
  <si>
    <t>JSW Steel</t>
  </si>
  <si>
    <t>Mining</t>
  </si>
  <si>
    <t>Hero MotoCorp</t>
  </si>
  <si>
    <t>Divis Laboratories Ltd</t>
  </si>
  <si>
    <t>Pharmaceuticals</t>
  </si>
  <si>
    <t>Grasim Industries</t>
  </si>
  <si>
    <t>Bharti Infratel</t>
  </si>
  <si>
    <t>Eicher Motors</t>
  </si>
  <si>
    <t>Tata Steel</t>
  </si>
  <si>
    <t>Dr. Reddys Laboratories Ltd</t>
  </si>
  <si>
    <t>UPL Ltd</t>
  </si>
  <si>
    <t>Fertilizer</t>
  </si>
  <si>
    <t>Hindalco Industries</t>
  </si>
  <si>
    <t>Cipla Ltd</t>
  </si>
  <si>
    <t>Tata Motors</t>
  </si>
  <si>
    <t>SBI Life Insurance Company Ltd.</t>
  </si>
  <si>
    <t>Shree Cement</t>
  </si>
  <si>
    <t>Cement sector</t>
  </si>
  <si>
    <t>Nestle India</t>
  </si>
  <si>
    <t>Food Processing</t>
  </si>
  <si>
    <t>비율</t>
    <phoneticPr fontId="2" type="noConversion"/>
  </si>
  <si>
    <t>시총</t>
    <phoneticPr fontId="2" type="noConversion"/>
  </si>
  <si>
    <t>섹터</t>
    <phoneticPr fontId="2" type="noConversion"/>
  </si>
  <si>
    <t>주식수</t>
    <phoneticPr fontId="2" type="noConversion"/>
  </si>
  <si>
    <t>가격</t>
    <phoneticPr fontId="2" type="noConversion"/>
  </si>
  <si>
    <t>YF code</t>
    <phoneticPr fontId="2" type="noConversion"/>
  </si>
  <si>
    <t>RELIANCE.NS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</si>
</sst>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80" formatCode="0_);[Red]\(0\)"/>
    <numFmt numFmtId="181" formatCode="0.0%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6">
    <xf numFmtId="0" fontId="0" fillId="0" borderId="0" xfId="0">
      <alignment vertical="center"/>
    </xf>
    <xf numFmtId="10" fontId="0" fillId="0" borderId="0" xfId="0" applyNumberFormat="1">
      <alignment vertical="center"/>
    </xf>
    <xf numFmtId="180" fontId="0" fillId="0" borderId="0" xfId="1" applyNumberFormat="1" applyFont="1">
      <alignment vertical="center"/>
    </xf>
    <xf numFmtId="180" fontId="0" fillId="0" borderId="0" xfId="0" applyNumberFormat="1">
      <alignment vertical="center"/>
    </xf>
    <xf numFmtId="181" fontId="0" fillId="0" borderId="0" xfId="2" applyNumberFormat="1" applyFont="1">
      <alignment vertical="center"/>
    </xf>
    <xf numFmtId="3" fontId="3" fillId="0" borderId="0" xfId="0" applyNumberFormat="1" applyFont="1">
      <alignment vertical="center"/>
    </xf>
  </cellXfs>
  <cellStyles count="3">
    <cellStyle name="백분율" xfId="2" builtinId="5"/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5CC06-24ED-460D-8F0E-F95C9257F390}">
  <dimension ref="A1:K51"/>
  <sheetViews>
    <sheetView tabSelected="1" workbookViewId="0">
      <selection activeCell="A3" sqref="A3"/>
    </sheetView>
  </sheetViews>
  <sheetFormatPr defaultRowHeight="16.5" x14ac:dyDescent="0.3"/>
  <cols>
    <col min="1" max="1" width="12.875" bestFit="1" customWidth="1"/>
    <col min="2" max="2" width="45.375" bestFit="1" customWidth="1"/>
    <col min="3" max="3" width="23.25" bestFit="1" customWidth="1"/>
    <col min="4" max="4" width="7.5" bestFit="1" customWidth="1"/>
    <col min="5" max="5" width="8.125" bestFit="1" customWidth="1"/>
    <col min="6" max="6" width="6.125" bestFit="1" customWidth="1"/>
    <col min="7" max="7" width="9.75" bestFit="1" customWidth="1"/>
    <col min="8" max="8" width="8.25" customWidth="1"/>
    <col min="10" max="10" width="23.25" bestFit="1" customWidth="1"/>
    <col min="11" max="11" width="7.25" bestFit="1" customWidth="1"/>
  </cols>
  <sheetData>
    <row r="1" spans="1:11" x14ac:dyDescent="0.3">
      <c r="A1" t="s">
        <v>73</v>
      </c>
      <c r="D1" t="s">
        <v>68</v>
      </c>
      <c r="E1" t="s">
        <v>69</v>
      </c>
      <c r="F1" t="s">
        <v>72</v>
      </c>
      <c r="G1" t="s">
        <v>71</v>
      </c>
      <c r="J1" t="s">
        <v>70</v>
      </c>
      <c r="K1" t="s">
        <v>68</v>
      </c>
    </row>
    <row r="2" spans="1:11" x14ac:dyDescent="0.3">
      <c r="B2" t="s">
        <v>0</v>
      </c>
      <c r="C2" t="s">
        <v>1</v>
      </c>
      <c r="D2" s="1">
        <f>E2/SUM($E$2:$E$51)</f>
        <v>0.10197462509831501</v>
      </c>
      <c r="E2" s="2">
        <v>820703</v>
      </c>
      <c r="H2" s="5"/>
      <c r="I2" s="3"/>
      <c r="J2" t="s">
        <v>5</v>
      </c>
      <c r="K2" s="4">
        <f ca="1">SUMIF($C$2:$D$51,J2,$D$2:$D$51)</f>
        <v>0.29299872889411305</v>
      </c>
    </row>
    <row r="3" spans="1:11" x14ac:dyDescent="0.3">
      <c r="A3" t="s">
        <v>74</v>
      </c>
      <c r="B3" t="s">
        <v>2</v>
      </c>
      <c r="C3" t="s">
        <v>3</v>
      </c>
      <c r="D3" s="1">
        <f t="shared" ref="D3:D51" si="0">E3/SUM($E$2:$E$51)</f>
        <v>0.10050409350766826</v>
      </c>
      <c r="E3" s="2">
        <v>808868</v>
      </c>
      <c r="F3" s="2"/>
      <c r="G3" s="5"/>
      <c r="H3" s="2"/>
      <c r="J3" t="s">
        <v>1</v>
      </c>
      <c r="K3" s="4">
        <f ca="1">SUMIF($C$2:$D$51,J3,$D$2:$D$51)</f>
        <v>0.18850438177410597</v>
      </c>
    </row>
    <row r="4" spans="1:11" x14ac:dyDescent="0.3">
      <c r="B4" t="s">
        <v>4</v>
      </c>
      <c r="C4" t="s">
        <v>5</v>
      </c>
      <c r="D4" s="1">
        <f t="shared" si="0"/>
        <v>7.5490394639238276E-2</v>
      </c>
      <c r="E4" s="2">
        <v>607555</v>
      </c>
      <c r="F4" s="2"/>
      <c r="G4" s="2"/>
      <c r="H4" s="2"/>
      <c r="J4" t="s">
        <v>3</v>
      </c>
      <c r="K4" s="4">
        <f ca="1">SUMIF($C$2:$D$51,J4,$D$2:$D$51)</f>
        <v>0.17171932292177916</v>
      </c>
    </row>
    <row r="5" spans="1:11" x14ac:dyDescent="0.3">
      <c r="B5" t="s">
        <v>6</v>
      </c>
      <c r="C5" t="s">
        <v>7</v>
      </c>
      <c r="D5" s="1">
        <f t="shared" si="0"/>
        <v>4.9521067679243948E-2</v>
      </c>
      <c r="E5" s="2">
        <v>398551</v>
      </c>
      <c r="F5" s="2"/>
      <c r="G5" s="2"/>
      <c r="H5" s="2"/>
      <c r="J5" t="s">
        <v>7</v>
      </c>
      <c r="K5" s="4">
        <f ca="1">SUMIF($C$2:$D$51,J5,$D$2:$D$51)</f>
        <v>8.7738239164226128E-2</v>
      </c>
    </row>
    <row r="6" spans="1:11" x14ac:dyDescent="0.3">
      <c r="B6" t="s">
        <v>8</v>
      </c>
      <c r="C6" t="s">
        <v>5</v>
      </c>
      <c r="D6" s="1">
        <f t="shared" si="0"/>
        <v>4.4824561294515113E-2</v>
      </c>
      <c r="E6" s="2">
        <v>360753</v>
      </c>
      <c r="F6" s="2"/>
      <c r="G6" s="2"/>
      <c r="H6" s="2"/>
      <c r="J6" t="s">
        <v>19</v>
      </c>
      <c r="K6" s="4">
        <f ca="1">SUMIF($C$2:$D$51,J6,$D$2:$D$51)</f>
        <v>5.7739146209482721E-2</v>
      </c>
    </row>
    <row r="7" spans="1:11" x14ac:dyDescent="0.3">
      <c r="B7" t="s">
        <v>9</v>
      </c>
      <c r="C7" t="s">
        <v>1</v>
      </c>
      <c r="D7" s="1">
        <f t="shared" si="0"/>
        <v>4.1251921258531506E-2</v>
      </c>
      <c r="E7" s="2">
        <v>332000</v>
      </c>
      <c r="F7" s="2"/>
      <c r="G7" s="2"/>
      <c r="H7" s="2"/>
      <c r="J7" t="s">
        <v>11</v>
      </c>
      <c r="K7" s="4">
        <f ca="1">SUMIF($C$2:$D$51,J7,$D$2:$D$51)</f>
        <v>3.76104451852671E-2</v>
      </c>
    </row>
    <row r="8" spans="1:11" x14ac:dyDescent="0.3">
      <c r="B8" t="s">
        <v>10</v>
      </c>
      <c r="C8" t="s">
        <v>11</v>
      </c>
      <c r="D8" s="1">
        <f t="shared" si="0"/>
        <v>3.76104451852671E-2</v>
      </c>
      <c r="E8" s="2">
        <v>302693</v>
      </c>
      <c r="F8" s="2"/>
      <c r="G8" s="2"/>
      <c r="H8" s="2"/>
      <c r="J8" t="s">
        <v>21</v>
      </c>
      <c r="K8" s="4">
        <f ca="1">SUMIF($C$2:$D$51,J8,$D$2:$D$51)</f>
        <v>2.8711958459812306E-2</v>
      </c>
    </row>
    <row r="9" spans="1:11" x14ac:dyDescent="0.3">
      <c r="B9" t="s">
        <v>12</v>
      </c>
      <c r="C9" t="s">
        <v>5</v>
      </c>
      <c r="D9" s="1">
        <f t="shared" si="0"/>
        <v>3.5735222306852166E-2</v>
      </c>
      <c r="E9" s="2">
        <v>287601</v>
      </c>
      <c r="F9" s="2"/>
      <c r="G9" s="2"/>
      <c r="H9" s="2"/>
      <c r="J9" t="s">
        <v>28</v>
      </c>
      <c r="K9" s="4">
        <f ca="1">SUMIF($C$2:$D$51,J9,$D$2:$D$51)</f>
        <v>2.5315260353051837E-2</v>
      </c>
    </row>
    <row r="10" spans="1:11" x14ac:dyDescent="0.3">
      <c r="B10" t="s">
        <v>13</v>
      </c>
      <c r="C10" t="s">
        <v>5</v>
      </c>
      <c r="D10" s="1">
        <f t="shared" si="0"/>
        <v>3.3458538712815802E-2</v>
      </c>
      <c r="E10" s="2">
        <v>269278</v>
      </c>
      <c r="F10" s="2"/>
      <c r="G10" s="2"/>
      <c r="H10" s="2"/>
      <c r="J10" t="s">
        <v>17</v>
      </c>
      <c r="K10" s="4">
        <f ca="1">SUMIF($C$2:$D$51,J10,$D$2:$D$51)</f>
        <v>2.3390584870236614E-2</v>
      </c>
    </row>
    <row r="11" spans="1:11" x14ac:dyDescent="0.3">
      <c r="B11" t="s">
        <v>14</v>
      </c>
      <c r="C11" t="s">
        <v>5</v>
      </c>
      <c r="D11" s="1">
        <f t="shared" si="0"/>
        <v>3.1454217201305645E-2</v>
      </c>
      <c r="E11" s="2">
        <v>253147</v>
      </c>
      <c r="F11" s="2"/>
      <c r="G11" s="2"/>
      <c r="H11" s="2"/>
      <c r="J11" t="s">
        <v>36</v>
      </c>
      <c r="K11" s="4">
        <f ca="1">SUMIF($C$2:$D$51,J11,$D$2:$D$51)</f>
        <v>2.2590272747266129E-2</v>
      </c>
    </row>
    <row r="12" spans="1:11" x14ac:dyDescent="0.3">
      <c r="B12" t="s">
        <v>15</v>
      </c>
      <c r="C12" t="s">
        <v>5</v>
      </c>
      <c r="D12" s="1">
        <f t="shared" si="0"/>
        <v>2.373948666208588E-2</v>
      </c>
      <c r="E12" s="2">
        <v>191058</v>
      </c>
      <c r="F12" s="2"/>
      <c r="G12" s="2"/>
      <c r="H12" s="2"/>
      <c r="J12" t="s">
        <v>33</v>
      </c>
      <c r="K12" s="4">
        <f ca="1">SUMIF($C$2:$D$51,J12,$D$2:$D$51)</f>
        <v>2.2494970868936932E-2</v>
      </c>
    </row>
    <row r="13" spans="1:11" x14ac:dyDescent="0.3">
      <c r="B13" t="s">
        <v>16</v>
      </c>
      <c r="C13" t="s">
        <v>17</v>
      </c>
      <c r="D13" s="1">
        <f t="shared" si="0"/>
        <v>2.3390584870236614E-2</v>
      </c>
      <c r="E13" s="2">
        <v>188250</v>
      </c>
      <c r="F13" s="2"/>
      <c r="G13" s="2"/>
      <c r="H13" s="2"/>
      <c r="J13" t="s">
        <v>47</v>
      </c>
      <c r="K13" s="4">
        <f ca="1">SUMIF($C$2:$D$51,J13,$D$2:$D$51)</f>
        <v>1.132029756054527E-2</v>
      </c>
    </row>
    <row r="14" spans="1:11" x14ac:dyDescent="0.3">
      <c r="B14" t="s">
        <v>18</v>
      </c>
      <c r="C14" t="s">
        <v>19</v>
      </c>
      <c r="D14" s="1">
        <f t="shared" si="0"/>
        <v>2.3266580600911271E-2</v>
      </c>
      <c r="E14" s="2">
        <v>187252</v>
      </c>
      <c r="F14" s="2"/>
      <c r="G14" s="2"/>
      <c r="H14" s="2"/>
      <c r="J14" t="s">
        <v>42</v>
      </c>
      <c r="K14" s="4">
        <f ca="1">SUMIF($C$2:$D$51,J14,$D$2:$D$51)</f>
        <v>9.1375490643144791E-3</v>
      </c>
    </row>
    <row r="15" spans="1:11" x14ac:dyDescent="0.3">
      <c r="B15" t="s">
        <v>20</v>
      </c>
      <c r="C15" t="s">
        <v>21</v>
      </c>
      <c r="D15" s="1">
        <f t="shared" si="0"/>
        <v>2.2837784274817318E-2</v>
      </c>
      <c r="E15" s="2">
        <v>183801</v>
      </c>
      <c r="F15" s="2"/>
      <c r="G15" s="2"/>
      <c r="H15" s="2"/>
      <c r="J15" t="s">
        <v>49</v>
      </c>
      <c r="K15" s="4">
        <f ca="1">SUMIF($C$2:$D$51,J15,$D$2:$D$51)</f>
        <v>6.7472984340422783E-3</v>
      </c>
    </row>
    <row r="16" spans="1:11" x14ac:dyDescent="0.3">
      <c r="B16" t="s">
        <v>22</v>
      </c>
      <c r="C16" t="s">
        <v>5</v>
      </c>
      <c r="D16" s="1">
        <f t="shared" si="0"/>
        <v>2.1883150205451965E-2</v>
      </c>
      <c r="E16" s="2">
        <v>176118</v>
      </c>
      <c r="F16" s="2"/>
      <c r="G16" s="2"/>
      <c r="H16" s="2"/>
      <c r="J16" t="s">
        <v>52</v>
      </c>
      <c r="K16" s="4">
        <f ca="1">SUMIF($C$2:$D$51,J16,$D$2:$D$51)</f>
        <v>6.5747113297407716E-3</v>
      </c>
    </row>
    <row r="17" spans="2:11" x14ac:dyDescent="0.3">
      <c r="B17" t="s">
        <v>23</v>
      </c>
      <c r="C17" t="s">
        <v>3</v>
      </c>
      <c r="D17" s="1">
        <f t="shared" si="0"/>
        <v>1.9546949532250429E-2</v>
      </c>
      <c r="E17" s="2">
        <v>157316</v>
      </c>
      <c r="F17" s="2"/>
      <c r="G17" s="2"/>
      <c r="H17" s="2"/>
      <c r="J17" t="s">
        <v>59</v>
      </c>
      <c r="K17" s="4">
        <f ca="1">SUMIF($C$2:$D$51,J17,$D$2:$D$51)</f>
        <v>5.1490349908239327E-3</v>
      </c>
    </row>
    <row r="18" spans="2:11" x14ac:dyDescent="0.3">
      <c r="B18" t="s">
        <v>24</v>
      </c>
      <c r="C18" t="s">
        <v>7</v>
      </c>
      <c r="D18" s="1">
        <f t="shared" si="0"/>
        <v>1.9010301797564893E-2</v>
      </c>
      <c r="E18" s="2">
        <v>152997</v>
      </c>
      <c r="F18" s="2"/>
      <c r="G18" s="2"/>
      <c r="H18" s="2"/>
      <c r="J18" t="s">
        <v>67</v>
      </c>
      <c r="K18" s="4">
        <f ca="1">SUMIF($C$2:$D$51,J18,$D$2:$D$51)</f>
        <v>2.2577971722553495E-3</v>
      </c>
    </row>
    <row r="19" spans="2:11" x14ac:dyDescent="0.3">
      <c r="B19" t="s">
        <v>25</v>
      </c>
      <c r="C19" t="s">
        <v>1</v>
      </c>
      <c r="D19" s="1">
        <f t="shared" si="0"/>
        <v>1.8998994795051259E-2</v>
      </c>
      <c r="E19" s="2">
        <v>152906</v>
      </c>
      <c r="F19" s="2"/>
      <c r="G19" s="2"/>
      <c r="H19" s="2"/>
    </row>
    <row r="20" spans="2:11" x14ac:dyDescent="0.3">
      <c r="B20" t="s">
        <v>26</v>
      </c>
      <c r="C20" t="s">
        <v>1</v>
      </c>
      <c r="D20" s="1">
        <f t="shared" si="0"/>
        <v>1.8266276181612827E-2</v>
      </c>
      <c r="E20" s="2">
        <v>147009</v>
      </c>
      <c r="F20" s="2"/>
      <c r="G20" s="2"/>
      <c r="H20" s="2"/>
    </row>
    <row r="21" spans="2:11" x14ac:dyDescent="0.3">
      <c r="B21" t="s">
        <v>27</v>
      </c>
      <c r="C21" t="s">
        <v>28</v>
      </c>
      <c r="D21" s="1">
        <f t="shared" si="0"/>
        <v>1.4950963642395544E-2</v>
      </c>
      <c r="E21" s="2">
        <v>120327</v>
      </c>
      <c r="F21" s="2"/>
      <c r="G21" s="2"/>
      <c r="H21" s="2"/>
    </row>
    <row r="22" spans="2:11" x14ac:dyDescent="0.3">
      <c r="B22" t="s">
        <v>29</v>
      </c>
      <c r="C22" t="s">
        <v>3</v>
      </c>
      <c r="D22" s="1">
        <f t="shared" si="0"/>
        <v>1.4533971329914725E-2</v>
      </c>
      <c r="E22" s="2">
        <v>116971</v>
      </c>
      <c r="F22" s="2"/>
      <c r="G22" s="2"/>
      <c r="H22" s="2"/>
    </row>
    <row r="23" spans="2:11" x14ac:dyDescent="0.3">
      <c r="B23" t="s">
        <v>30</v>
      </c>
      <c r="C23" t="s">
        <v>3</v>
      </c>
      <c r="D23" s="1">
        <f t="shared" si="0"/>
        <v>1.4507256983316581E-2</v>
      </c>
      <c r="E23" s="2">
        <v>116756</v>
      </c>
      <c r="F23" s="2"/>
      <c r="G23" s="2"/>
      <c r="H23" s="2"/>
    </row>
    <row r="24" spans="2:11" x14ac:dyDescent="0.3">
      <c r="B24" t="s">
        <v>31</v>
      </c>
      <c r="C24" t="s">
        <v>5</v>
      </c>
      <c r="D24" s="1">
        <f t="shared" si="0"/>
        <v>1.4318517018281312E-2</v>
      </c>
      <c r="E24" s="2">
        <v>115237</v>
      </c>
      <c r="F24" s="2"/>
      <c r="G24" s="2"/>
      <c r="H24" s="2"/>
    </row>
    <row r="25" spans="2:11" x14ac:dyDescent="0.3">
      <c r="B25" t="s">
        <v>32</v>
      </c>
      <c r="C25" t="s">
        <v>33</v>
      </c>
      <c r="D25" s="1">
        <f t="shared" si="0"/>
        <v>1.3764598147888137E-2</v>
      </c>
      <c r="E25" s="2">
        <v>110779</v>
      </c>
      <c r="F25" s="2"/>
      <c r="G25" s="2"/>
      <c r="H25" s="2"/>
    </row>
    <row r="26" spans="2:11" x14ac:dyDescent="0.3">
      <c r="B26" t="s">
        <v>34</v>
      </c>
      <c r="C26" t="s">
        <v>3</v>
      </c>
      <c r="D26" s="1">
        <f t="shared" si="0"/>
        <v>1.3394076373210604E-2</v>
      </c>
      <c r="E26" s="2">
        <v>107797</v>
      </c>
      <c r="F26" s="2"/>
      <c r="G26" s="2"/>
      <c r="H26" s="2"/>
    </row>
    <row r="27" spans="2:11" x14ac:dyDescent="0.3">
      <c r="B27" t="s">
        <v>35</v>
      </c>
      <c r="C27" t="s">
        <v>36</v>
      </c>
      <c r="D27" s="1">
        <f t="shared" si="0"/>
        <v>1.2545057162489081E-2</v>
      </c>
      <c r="E27" s="2">
        <v>100964</v>
      </c>
      <c r="F27" s="2"/>
      <c r="G27" s="2"/>
      <c r="H27" s="2"/>
    </row>
    <row r="28" spans="2:11" x14ac:dyDescent="0.3">
      <c r="B28" t="s">
        <v>37</v>
      </c>
      <c r="C28" t="s">
        <v>5</v>
      </c>
      <c r="D28" s="1">
        <f t="shared" si="0"/>
        <v>1.2094640853566862E-2</v>
      </c>
      <c r="E28" s="2">
        <v>97339</v>
      </c>
      <c r="F28" s="2"/>
      <c r="G28" s="2"/>
      <c r="H28" s="2"/>
    </row>
    <row r="29" spans="2:11" x14ac:dyDescent="0.3">
      <c r="B29" t="s">
        <v>38</v>
      </c>
      <c r="C29" t="s">
        <v>7</v>
      </c>
      <c r="D29" s="1">
        <f t="shared" si="0"/>
        <v>1.2056370998905334E-2</v>
      </c>
      <c r="E29" s="2">
        <v>97031</v>
      </c>
      <c r="F29" s="2"/>
      <c r="G29" s="2"/>
      <c r="H29" s="2"/>
    </row>
    <row r="30" spans="2:11" x14ac:dyDescent="0.3">
      <c r="B30" t="s">
        <v>39</v>
      </c>
      <c r="C30" t="s">
        <v>19</v>
      </c>
      <c r="D30" s="1">
        <f t="shared" si="0"/>
        <v>9.8618184890614073E-3</v>
      </c>
      <c r="E30" s="2">
        <v>79369</v>
      </c>
      <c r="F30" s="2"/>
      <c r="G30" s="2"/>
      <c r="H30" s="2"/>
    </row>
    <row r="31" spans="2:11" x14ac:dyDescent="0.3">
      <c r="B31" t="s">
        <v>40</v>
      </c>
      <c r="C31" t="s">
        <v>3</v>
      </c>
      <c r="D31" s="1">
        <f t="shared" si="0"/>
        <v>9.232975195418552E-3</v>
      </c>
      <c r="E31" s="2">
        <v>74308</v>
      </c>
      <c r="F31" s="2"/>
      <c r="G31" s="2"/>
      <c r="H31" s="2"/>
    </row>
    <row r="32" spans="2:11" x14ac:dyDescent="0.3">
      <c r="B32" t="s">
        <v>41</v>
      </c>
      <c r="C32" t="s">
        <v>42</v>
      </c>
      <c r="D32" s="1">
        <f t="shared" si="0"/>
        <v>9.1375490643144791E-3</v>
      </c>
      <c r="E32" s="2">
        <v>73540</v>
      </c>
      <c r="F32" s="2"/>
      <c r="G32" s="2"/>
      <c r="H32" s="2"/>
    </row>
    <row r="33" spans="2:8" x14ac:dyDescent="0.3">
      <c r="B33" t="s">
        <v>43</v>
      </c>
      <c r="C33" t="s">
        <v>19</v>
      </c>
      <c r="D33" s="1">
        <f t="shared" si="0"/>
        <v>8.1544611095027281E-3</v>
      </c>
      <c r="E33" s="2">
        <v>65628</v>
      </c>
      <c r="F33" s="2"/>
      <c r="G33" s="2"/>
      <c r="H33" s="2"/>
    </row>
    <row r="34" spans="2:8" x14ac:dyDescent="0.3">
      <c r="B34" t="s">
        <v>44</v>
      </c>
      <c r="C34" t="s">
        <v>1</v>
      </c>
      <c r="D34" s="1">
        <f t="shared" si="0"/>
        <v>8.012564440595369E-3</v>
      </c>
      <c r="E34" s="2">
        <v>64486</v>
      </c>
      <c r="F34" s="2"/>
      <c r="G34" s="2"/>
      <c r="H34" s="2"/>
    </row>
    <row r="35" spans="2:8" x14ac:dyDescent="0.3">
      <c r="B35" t="s">
        <v>45</v>
      </c>
      <c r="C35" t="s">
        <v>7</v>
      </c>
      <c r="D35" s="1">
        <f t="shared" si="0"/>
        <v>7.1504986885119609E-3</v>
      </c>
      <c r="E35" s="2">
        <v>57548</v>
      </c>
      <c r="F35" s="2"/>
      <c r="G35" s="2"/>
      <c r="H35" s="2"/>
    </row>
    <row r="36" spans="2:8" x14ac:dyDescent="0.3">
      <c r="B36" t="s">
        <v>46</v>
      </c>
      <c r="C36" t="s">
        <v>47</v>
      </c>
      <c r="D36" s="1">
        <f t="shared" si="0"/>
        <v>7.1367066305008256E-3</v>
      </c>
      <c r="E36" s="2">
        <v>57437</v>
      </c>
      <c r="F36" s="2"/>
      <c r="G36" s="2"/>
      <c r="H36" s="2"/>
    </row>
    <row r="37" spans="2:8" x14ac:dyDescent="0.3">
      <c r="B37" t="s">
        <v>48</v>
      </c>
      <c r="C37" t="s">
        <v>49</v>
      </c>
      <c r="D37" s="1">
        <f t="shared" si="0"/>
        <v>6.7472984340422783E-3</v>
      </c>
      <c r="E37" s="2">
        <v>54303</v>
      </c>
      <c r="F37" s="2"/>
      <c r="G37" s="2"/>
      <c r="H37" s="2"/>
    </row>
    <row r="38" spans="2:8" x14ac:dyDescent="0.3">
      <c r="B38" t="s">
        <v>50</v>
      </c>
      <c r="C38" t="s">
        <v>19</v>
      </c>
      <c r="D38" s="1">
        <f t="shared" si="0"/>
        <v>6.624288186915934E-3</v>
      </c>
      <c r="E38" s="2">
        <v>53313</v>
      </c>
      <c r="F38" s="2"/>
      <c r="G38" s="2"/>
      <c r="H38" s="2"/>
    </row>
    <row r="39" spans="2:8" x14ac:dyDescent="0.3">
      <c r="B39" t="s">
        <v>51</v>
      </c>
      <c r="C39" t="s">
        <v>52</v>
      </c>
      <c r="D39" s="1">
        <f t="shared" si="0"/>
        <v>6.5747113297407716E-3</v>
      </c>
      <c r="E39" s="2">
        <v>52914</v>
      </c>
      <c r="F39" s="2"/>
      <c r="G39" s="2"/>
      <c r="H39" s="2"/>
    </row>
    <row r="40" spans="2:8" x14ac:dyDescent="0.3">
      <c r="B40" t="s">
        <v>53</v>
      </c>
      <c r="C40" t="s">
        <v>33</v>
      </c>
      <c r="D40" s="1">
        <f t="shared" si="0"/>
        <v>5.9600328524336771E-3</v>
      </c>
      <c r="E40" s="2">
        <v>47967</v>
      </c>
      <c r="F40" s="2"/>
      <c r="G40" s="2"/>
      <c r="H40" s="2"/>
    </row>
    <row r="41" spans="2:8" x14ac:dyDescent="0.3">
      <c r="B41" t="s">
        <v>54</v>
      </c>
      <c r="C41" t="s">
        <v>21</v>
      </c>
      <c r="D41" s="1">
        <f t="shared" si="0"/>
        <v>5.8741741849949866E-3</v>
      </c>
      <c r="E41" s="2">
        <v>47276</v>
      </c>
      <c r="F41" s="2"/>
      <c r="G41" s="2"/>
      <c r="H41" s="2"/>
    </row>
    <row r="42" spans="2:8" x14ac:dyDescent="0.3">
      <c r="B42" t="s">
        <v>55</v>
      </c>
      <c r="C42" t="s">
        <v>19</v>
      </c>
      <c r="D42" s="1">
        <f t="shared" si="0"/>
        <v>5.3905823851811167E-3</v>
      </c>
      <c r="E42" s="2">
        <v>43384</v>
      </c>
      <c r="F42" s="2"/>
      <c r="G42" s="2"/>
      <c r="H42" s="2"/>
    </row>
    <row r="43" spans="2:8" x14ac:dyDescent="0.3">
      <c r="B43" t="s">
        <v>56</v>
      </c>
      <c r="C43" t="s">
        <v>28</v>
      </c>
      <c r="D43" s="1">
        <f t="shared" si="0"/>
        <v>5.3607617192110947E-3</v>
      </c>
      <c r="E43" s="2">
        <v>43144</v>
      </c>
      <c r="F43" s="2"/>
      <c r="G43" s="2"/>
      <c r="H43" s="2"/>
    </row>
    <row r="44" spans="2:8" x14ac:dyDescent="0.3">
      <c r="B44" t="s">
        <v>57</v>
      </c>
      <c r="C44" t="s">
        <v>36</v>
      </c>
      <c r="D44" s="1">
        <f t="shared" si="0"/>
        <v>5.2507980134466354E-3</v>
      </c>
      <c r="E44" s="2">
        <v>42259</v>
      </c>
      <c r="F44" s="2"/>
      <c r="G44" s="2"/>
      <c r="H44" s="2"/>
    </row>
    <row r="45" spans="2:8" x14ac:dyDescent="0.3">
      <c r="B45" t="s">
        <v>58</v>
      </c>
      <c r="C45" t="s">
        <v>59</v>
      </c>
      <c r="D45" s="1">
        <f t="shared" si="0"/>
        <v>5.1490349908239327E-3</v>
      </c>
      <c r="E45" s="2">
        <v>41440</v>
      </c>
      <c r="F45" s="2"/>
      <c r="G45" s="2"/>
      <c r="H45" s="2"/>
    </row>
    <row r="46" spans="2:8" x14ac:dyDescent="0.3">
      <c r="B46" t="s">
        <v>60</v>
      </c>
      <c r="C46" t="s">
        <v>28</v>
      </c>
      <c r="D46" s="1">
        <f t="shared" si="0"/>
        <v>5.0035349914451964E-3</v>
      </c>
      <c r="E46" s="2">
        <v>40269</v>
      </c>
      <c r="F46" s="2"/>
      <c r="G46" s="2"/>
      <c r="H46" s="2"/>
    </row>
    <row r="47" spans="2:8" x14ac:dyDescent="0.3">
      <c r="B47" t="s">
        <v>61</v>
      </c>
      <c r="C47" t="s">
        <v>36</v>
      </c>
      <c r="D47" s="1">
        <f t="shared" si="0"/>
        <v>4.7944175713304114E-3</v>
      </c>
      <c r="E47" s="2">
        <v>38586</v>
      </c>
      <c r="F47" s="2"/>
      <c r="G47" s="2"/>
      <c r="H47" s="2"/>
    </row>
    <row r="48" spans="2:8" x14ac:dyDescent="0.3">
      <c r="B48" t="s">
        <v>62</v>
      </c>
      <c r="C48" t="s">
        <v>19</v>
      </c>
      <c r="D48" s="1">
        <f t="shared" si="0"/>
        <v>4.4414154379102668E-3</v>
      </c>
      <c r="E48" s="2">
        <v>35745</v>
      </c>
      <c r="F48" s="2"/>
      <c r="G48" s="2"/>
      <c r="H48" s="2"/>
    </row>
    <row r="49" spans="2:8" x14ac:dyDescent="0.3">
      <c r="B49" t="s">
        <v>63</v>
      </c>
      <c r="C49" t="s">
        <v>47</v>
      </c>
      <c r="D49" s="1">
        <f t="shared" si="0"/>
        <v>4.1835909300444452E-3</v>
      </c>
      <c r="E49" s="2">
        <v>33670</v>
      </c>
      <c r="F49" s="2"/>
      <c r="G49" s="2"/>
      <c r="H49" s="2"/>
    </row>
    <row r="50" spans="2:8" x14ac:dyDescent="0.3">
      <c r="B50" t="s">
        <v>64</v>
      </c>
      <c r="C50" t="s">
        <v>65</v>
      </c>
      <c r="D50" s="1">
        <f t="shared" si="0"/>
        <v>2.7703398686151157E-3</v>
      </c>
      <c r="E50" s="2">
        <v>22296</v>
      </c>
      <c r="F50" s="2"/>
      <c r="G50" s="2"/>
      <c r="H50" s="2"/>
    </row>
    <row r="51" spans="2:8" x14ac:dyDescent="0.3">
      <c r="B51" t="s">
        <v>66</v>
      </c>
      <c r="C51" t="s">
        <v>67</v>
      </c>
      <c r="D51" s="1">
        <f t="shared" si="0"/>
        <v>2.2577971722553495E-3</v>
      </c>
      <c r="E51" s="2">
        <v>18171</v>
      </c>
      <c r="F51" s="2"/>
      <c r="G51" s="2"/>
      <c r="H51" s="2"/>
    </row>
  </sheetData>
  <autoFilter ref="J1:K18" xr:uid="{BF05CC06-24ED-460D-8F0E-F95C9257F390}">
    <sortState xmlns:xlrd2="http://schemas.microsoft.com/office/spreadsheetml/2017/richdata2" ref="J2:K18">
      <sortCondition descending="1" ref="K1:K18"/>
    </sortState>
  </autoFilter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김현식</dc:creator>
  <cp:lastModifiedBy>김현식</cp:lastModifiedBy>
  <dcterms:created xsi:type="dcterms:W3CDTF">2021-10-07T05:49:40Z</dcterms:created>
  <dcterms:modified xsi:type="dcterms:W3CDTF">2021-10-07T07:14:39Z</dcterms:modified>
</cp:coreProperties>
</file>